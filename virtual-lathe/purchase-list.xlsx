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試作1台" sheetId="1" state="visible" r:id="rId3"/>
  </sheets>
  <definedNames>
    <definedName function="false" hidden="false" localSheetId="0" name="_xlnm.Print_Titles" vbProcedure="false">試作1台!$6:$6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WenQuanYi Zen Hei"/>
            <family val="2"/>
          </rPr>
          <t xml:space="preserve">単価は目安（設計書の概算）。購入時の見積もりで書き換える。</t>
        </r>
      </text>
    </comment>
  </commentList>
</comments>
</file>

<file path=xl/sharedStrings.xml><?xml version="1.0" encoding="utf-8"?>
<sst xmlns="http://schemas.openxmlformats.org/spreadsheetml/2006/main" count="87" uniqueCount="85">
  <si>
    <r>
      <rPr>
        <b val="true"/>
        <sz val="14"/>
        <rFont val="WenQuanYi Zen Hei"/>
        <family val="2"/>
      </rPr>
      <t xml:space="preserve">バーチャル旋盤 ハンドルユニット 購入部品一覧（試作</t>
    </r>
    <r>
      <rPr>
        <b val="true"/>
        <sz val="14"/>
        <rFont val="Meiryo UI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台・標準品）</t>
    </r>
  </si>
  <si>
    <r>
      <rPr>
        <sz val="9"/>
        <color rgb="FF555555"/>
        <rFont val="WenQuanYi Zen Hei"/>
        <family val="2"/>
      </rPr>
      <t xml:space="preserve">単価は設計書（</t>
    </r>
    <r>
      <rPr>
        <sz val="9"/>
        <color rgb="FF555555"/>
        <rFont val="Meiryo UI"/>
        <family val="0"/>
        <charset val="1"/>
      </rPr>
      <t xml:space="preserve">docs/virtual-lathe/design.md 3.2</t>
    </r>
    <r>
      <rPr>
        <sz val="9"/>
        <color rgb="FF555555"/>
        <rFont val="WenQuanYi Zen Hei"/>
        <family val="2"/>
      </rPr>
      <t xml:space="preserve">）の目安。購入時に見積もりを取り、黄色の単価・個数・台数を書き換えると合計が自動で変わる。</t>
    </r>
  </si>
  <si>
    <t xml:space="preserve">作る台数</t>
  </si>
  <si>
    <r>
      <rPr>
        <sz val="9"/>
        <color rgb="FF555555"/>
        <rFont val="Meiryo UI"/>
        <family val="0"/>
        <charset val="1"/>
      </rPr>
      <t xml:space="preserve">← 10</t>
    </r>
    <r>
      <rPr>
        <sz val="9"/>
        <color rgb="FF555555"/>
        <rFont val="WenQuanYi Zen Hei"/>
        <family val="2"/>
      </rPr>
      <t xml:space="preserve">台分を出すときは </t>
    </r>
    <r>
      <rPr>
        <sz val="9"/>
        <color rgb="FF555555"/>
        <rFont val="Meiryo UI"/>
        <family val="0"/>
        <charset val="1"/>
      </rPr>
      <t xml:space="preserve">10 </t>
    </r>
    <r>
      <rPr>
        <sz val="9"/>
        <color rgb="FF555555"/>
        <rFont val="WenQuanYi Zen Hei"/>
        <family val="2"/>
      </rPr>
      <t xml:space="preserve">にする</t>
    </r>
  </si>
  <si>
    <t xml:space="preserve">No.</t>
  </si>
  <si>
    <t xml:space="preserve">品名</t>
  </si>
  <si>
    <t xml:space="preserve">品目（メーカー・規格）</t>
  </si>
  <si>
    <t xml:space="preserve">単価（円）</t>
  </si>
  <si>
    <t xml:space="preserve">個数</t>
  </si>
  <si>
    <t xml:space="preserve">合計（円）</t>
  </si>
  <si>
    <t xml:space="preserve">備考</t>
  </si>
  <si>
    <t xml:space="preserve">マイコンボード</t>
  </si>
  <si>
    <r>
      <rPr>
        <sz val="10"/>
        <rFont val="Meiryo UI"/>
        <family val="0"/>
        <charset val="1"/>
      </rPr>
      <t xml:space="preserve">Espressif ESP32-DevKitC-32E</t>
    </r>
    <r>
      <rPr>
        <sz val="10"/>
        <rFont val="WenQuanYi Zen Hei"/>
        <family val="2"/>
      </rPr>
      <t xml:space="preserve">（</t>
    </r>
    <r>
      <rPr>
        <sz val="10"/>
        <rFont val="Meiryo UI"/>
        <family val="0"/>
        <charset val="1"/>
      </rPr>
      <t xml:space="preserve">ESP32-WROOM-32E</t>
    </r>
    <r>
      <rPr>
        <sz val="10"/>
        <rFont val="WenQuanYi Zen Hei"/>
        <family val="2"/>
      </rPr>
      <t xml:space="preserve">、</t>
    </r>
    <r>
      <rPr>
        <sz val="10"/>
        <rFont val="Meiryo UI"/>
        <family val="0"/>
        <charset val="1"/>
      </rPr>
      <t xml:space="preserve">USB</t>
    </r>
    <r>
      <rPr>
        <sz val="10"/>
        <rFont val="WenQuanYi Zen Hei"/>
        <family val="2"/>
      </rPr>
      <t xml:space="preserve">変換 </t>
    </r>
    <r>
      <rPr>
        <sz val="10"/>
        <rFont val="Meiryo UI"/>
        <family val="0"/>
        <charset val="1"/>
      </rPr>
      <t xml:space="preserve">CP2102N</t>
    </r>
    <r>
      <rPr>
        <sz val="10"/>
        <rFont val="WenQuanYi Zen Hei"/>
        <family val="2"/>
      </rPr>
      <t xml:space="preserve">、</t>
    </r>
    <r>
      <rPr>
        <sz val="10"/>
        <rFont val="Meiryo UI"/>
        <family val="0"/>
        <charset val="1"/>
      </rPr>
      <t xml:space="preserve">micro-USB</t>
    </r>
    <r>
      <rPr>
        <sz val="10"/>
        <rFont val="WenQuanYi Zen Hei"/>
        <family val="2"/>
      </rPr>
      <t xml:space="preserve">）</t>
    </r>
  </si>
  <si>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個は予備</t>
    </r>
  </si>
  <si>
    <t xml:space="preserve">ロータリーエンコーダー</t>
  </si>
  <si>
    <r>
      <rPr>
        <sz val="10"/>
        <rFont val="WenQuanYi Zen Hei"/>
        <family val="2"/>
      </rPr>
      <t xml:space="preserve">光学式インクリメンタル </t>
    </r>
    <r>
      <rPr>
        <sz val="10"/>
        <rFont val="Meiryo UI"/>
        <family val="0"/>
        <charset val="1"/>
      </rPr>
      <t xml:space="preserve">600P/R  LPD3806-600BM-G5-24C</t>
    </r>
    <r>
      <rPr>
        <sz val="10"/>
        <rFont val="WenQuanYi Zen Hei"/>
        <family val="2"/>
      </rPr>
      <t xml:space="preserve">（</t>
    </r>
    <r>
      <rPr>
        <sz val="10"/>
        <rFont val="Meiryo UI"/>
        <family val="0"/>
        <charset val="1"/>
      </rPr>
      <t xml:space="preserve">NPN</t>
    </r>
    <r>
      <rPr>
        <sz val="10"/>
        <rFont val="WenQuanYi Zen Hei"/>
        <family val="2"/>
      </rPr>
      <t xml:space="preserve">オープンコレクタ、</t>
    </r>
    <r>
      <rPr>
        <sz val="10"/>
        <rFont val="Meiryo UI"/>
        <family val="0"/>
        <charset val="1"/>
      </rPr>
      <t xml:space="preserve">A/B</t>
    </r>
    <r>
      <rPr>
        <sz val="10"/>
        <rFont val="WenQuanYi Zen Hei"/>
        <family val="2"/>
      </rPr>
      <t xml:space="preserve">相、</t>
    </r>
    <r>
      <rPr>
        <sz val="10"/>
        <rFont val="Meiryo UI"/>
        <family val="0"/>
        <charset val="1"/>
      </rPr>
      <t xml:space="preserve">DC5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24V</t>
    </r>
    <r>
      <rPr>
        <sz val="10"/>
        <rFont val="WenQuanYi Zen Hei"/>
        <family val="2"/>
      </rPr>
      <t xml:space="preserve">、軸</t>
    </r>
    <r>
      <rPr>
        <sz val="10"/>
        <rFont val="Meiryo UI"/>
        <family val="0"/>
        <charset val="1"/>
      </rPr>
      <t xml:space="preserve">φ6mm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</si>
  <si>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往復台・横送り・刃物送り台に各</t>
    </r>
    <r>
      <rPr>
        <sz val="10"/>
        <rFont val="Meiryo UI"/>
        <family val="0"/>
        <charset val="1"/>
      </rPr>
      <t xml:space="preserve">1</t>
    </r>
  </si>
  <si>
    <t xml:space="preserve">抵抗器</t>
  </si>
  <si>
    <r>
      <rPr>
        <sz val="10"/>
        <rFont val="WenQuanYi Zen Hei"/>
        <family val="2"/>
      </rPr>
      <t xml:space="preserve">金属皮膜抵抗 </t>
    </r>
    <r>
      <rPr>
        <sz val="10"/>
        <rFont val="Meiryo UI"/>
        <family val="0"/>
        <charset val="1"/>
      </rPr>
      <t xml:space="preserve">2.2kΩ 1/4W</t>
    </r>
  </si>
  <si>
    <r>
      <rPr>
        <sz val="10"/>
        <rFont val="WenQuanYi Zen Hei"/>
        <family val="2"/>
      </rPr>
      <t xml:space="preserve">エンコーダー出力のプルアップ用（</t>
    </r>
    <r>
      <rPr>
        <sz val="10"/>
        <rFont val="Meiryo UI"/>
        <family val="0"/>
        <charset val="1"/>
      </rPr>
      <t xml:space="preserve">6</t>
    </r>
    <r>
      <rPr>
        <sz val="10"/>
        <rFont val="WenQuanYi Zen Hei"/>
        <family val="2"/>
      </rPr>
      <t xml:space="preserve">本使用＋予備）</t>
    </r>
  </si>
  <si>
    <t xml:space="preserve">振動ドライバ基板</t>
  </si>
  <si>
    <r>
      <rPr>
        <sz val="10"/>
        <rFont val="Meiryo UI"/>
        <family val="0"/>
        <charset val="1"/>
      </rPr>
      <t xml:space="preserve">Adafruit DRV2605L </t>
    </r>
    <r>
      <rPr>
        <sz val="10"/>
        <rFont val="WenQuanYi Zen Hei"/>
        <family val="2"/>
      </rPr>
      <t xml:space="preserve">ハプティックモータードライバ（製品番号 </t>
    </r>
    <r>
      <rPr>
        <sz val="10"/>
        <rFont val="Meiryo UI"/>
        <family val="0"/>
        <charset val="1"/>
      </rPr>
      <t xml:space="preserve">2305</t>
    </r>
    <r>
      <rPr>
        <sz val="10"/>
        <rFont val="WenQuanYi Zen Hei"/>
        <family val="2"/>
      </rPr>
      <t xml:space="preserve">）</t>
    </r>
  </si>
  <si>
    <r>
      <rPr>
        <sz val="10"/>
        <rFont val="Meiryo UI"/>
        <family val="0"/>
        <charset val="1"/>
      </rPr>
      <t xml:space="preserve">I2C</t>
    </r>
    <r>
      <rPr>
        <sz val="10"/>
        <rFont val="WenQuanYi Zen Hei"/>
        <family val="2"/>
      </rPr>
      <t xml:space="preserve">接続</t>
    </r>
  </si>
  <si>
    <r>
      <rPr>
        <sz val="10"/>
        <rFont val="WenQuanYi Zen Hei"/>
        <family val="2"/>
      </rPr>
      <t xml:space="preserve">振動素子（</t>
    </r>
    <r>
      <rPr>
        <sz val="10"/>
        <rFont val="Meiryo UI"/>
        <family val="0"/>
        <charset val="1"/>
      </rPr>
      <t xml:space="preserve">LRA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</si>
  <si>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リニア振動アクチュエータ コイン形 </t>
    </r>
    <r>
      <rPr>
        <sz val="10"/>
        <rFont val="Meiryo UI"/>
        <family val="0"/>
        <charset val="1"/>
      </rPr>
      <t xml:space="preserve">φ10mm</t>
    </r>
    <r>
      <rPr>
        <sz val="10"/>
        <rFont val="WenQuanYi Zen Hei"/>
        <family val="2"/>
      </rPr>
      <t xml:space="preserve">（例：</t>
    </r>
    <r>
      <rPr>
        <sz val="10"/>
        <rFont val="Meiryo UI"/>
        <family val="0"/>
        <charset val="1"/>
      </rPr>
      <t xml:space="preserve">Precision Microdrives C10-100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</si>
  <si>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共振周波数 約</t>
    </r>
    <r>
      <rPr>
        <sz val="10"/>
        <rFont val="Meiryo UI"/>
        <family val="0"/>
        <charset val="1"/>
      </rPr>
      <t xml:space="preserve">170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235Hz </t>
    </r>
    <r>
      <rPr>
        <sz val="10"/>
        <rFont val="WenQuanYi Zen Hei"/>
        <family val="2"/>
      </rPr>
      <t xml:space="preserve">のもの</t>
    </r>
  </si>
  <si>
    <r>
      <rPr>
        <sz val="10"/>
        <rFont val="Meiryo UI"/>
        <family val="0"/>
        <charset val="1"/>
      </rPr>
      <t xml:space="preserve">I2C</t>
    </r>
    <r>
      <rPr>
        <sz val="10"/>
        <rFont val="WenQuanYi Zen Hei"/>
        <family val="2"/>
      </rPr>
      <t xml:space="preserve">切替器基板</t>
    </r>
  </si>
  <si>
    <r>
      <rPr>
        <sz val="10"/>
        <rFont val="Meiryo UI"/>
        <family val="0"/>
        <charset val="1"/>
      </rPr>
      <t xml:space="preserve">Adafruit TCA9548A I2C</t>
    </r>
    <r>
      <rPr>
        <sz val="10"/>
        <rFont val="WenQuanYi Zen Hei"/>
        <family val="2"/>
      </rPr>
      <t xml:space="preserve">マルチプレクサ（製品番号 </t>
    </r>
    <r>
      <rPr>
        <sz val="10"/>
        <rFont val="Meiryo UI"/>
        <family val="0"/>
        <charset val="1"/>
      </rPr>
      <t xml:space="preserve">2717</t>
    </r>
    <r>
      <rPr>
        <sz val="10"/>
        <rFont val="WenQuanYi Zen Hei"/>
        <family val="2"/>
      </rPr>
      <t xml:space="preserve">、アドレス</t>
    </r>
    <r>
      <rPr>
        <sz val="10"/>
        <rFont val="Meiryo UI"/>
        <family val="0"/>
        <charset val="1"/>
      </rPr>
      <t xml:space="preserve">0x70</t>
    </r>
    <r>
      <rPr>
        <sz val="10"/>
        <rFont val="WenQuanYi Zen Hei"/>
        <family val="2"/>
      </rPr>
      <t xml:space="preserve">）</t>
    </r>
  </si>
  <si>
    <r>
      <rPr>
        <sz val="10"/>
        <rFont val="Meiryo UI"/>
        <family val="0"/>
        <charset val="1"/>
      </rPr>
      <t xml:space="preserve">DRV2605L </t>
    </r>
    <r>
      <rPr>
        <sz val="10"/>
        <rFont val="WenQuanYi Zen Hei"/>
        <family val="2"/>
      </rPr>
      <t xml:space="preserve">を</t>
    </r>
    <r>
      <rPr>
        <sz val="10"/>
        <rFont val="Meiryo UI"/>
        <family val="0"/>
        <charset val="1"/>
      </rPr>
      <t xml:space="preserve">3</t>
    </r>
    <r>
      <rPr>
        <sz val="10"/>
        <rFont val="WenQuanYi Zen Hei"/>
        <family val="2"/>
      </rPr>
      <t xml:space="preserve">台つなぐため</t>
    </r>
  </si>
  <si>
    <t xml:space="preserve">可変抵抗器</t>
  </si>
  <si>
    <r>
      <rPr>
        <sz val="10"/>
        <rFont val="WenQuanYi Zen Hei"/>
        <family val="2"/>
      </rPr>
      <t xml:space="preserve">東京コスモス電機 </t>
    </r>
    <r>
      <rPr>
        <sz val="10"/>
        <rFont val="Meiryo UI"/>
        <family val="0"/>
        <charset val="1"/>
      </rPr>
      <t xml:space="preserve">RV24YN20S B103</t>
    </r>
    <r>
      <rPr>
        <sz val="10"/>
        <rFont val="WenQuanYi Zen Hei"/>
        <family val="2"/>
      </rPr>
      <t xml:space="preserve">（</t>
    </r>
    <r>
      <rPr>
        <sz val="10"/>
        <rFont val="Meiryo UI"/>
        <family val="0"/>
        <charset val="1"/>
      </rPr>
      <t xml:space="preserve">10kΩ B</t>
    </r>
    <r>
      <rPr>
        <sz val="10"/>
        <rFont val="WenQuanYi Zen Hei"/>
        <family val="2"/>
      </rPr>
      <t xml:space="preserve">カーブ、</t>
    </r>
    <r>
      <rPr>
        <sz val="10"/>
        <rFont val="Meiryo UI"/>
        <family val="0"/>
        <charset val="1"/>
      </rPr>
      <t xml:space="preserve">φ24mm</t>
    </r>
    <r>
      <rPr>
        <sz val="10"/>
        <rFont val="WenQuanYi Zen Hei"/>
        <family val="2"/>
      </rPr>
      <t xml:space="preserve">）</t>
    </r>
  </si>
  <si>
    <t xml:space="preserve">主軸回転数つまみ</t>
  </si>
  <si>
    <t xml:space="preserve">つまみ</t>
  </si>
  <si>
    <r>
      <rPr>
        <sz val="10"/>
        <rFont val="WenQuanYi Zen Hei"/>
        <family val="2"/>
      </rPr>
      <t xml:space="preserve">目盛り付きつまみ 軸</t>
    </r>
    <r>
      <rPr>
        <sz val="10"/>
        <rFont val="Meiryo UI"/>
        <family val="0"/>
        <charset val="1"/>
      </rPr>
      <t xml:space="preserve">φ6mm</t>
    </r>
    <r>
      <rPr>
        <sz val="10"/>
        <rFont val="WenQuanYi Zen Hei"/>
        <family val="2"/>
      </rPr>
      <t xml:space="preserve">用</t>
    </r>
  </si>
  <si>
    <r>
      <rPr>
        <sz val="10"/>
        <rFont val="Meiryo UI"/>
        <family val="0"/>
        <charset val="1"/>
      </rPr>
      <t xml:space="preserve">0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4000 min⁻¹ </t>
    </r>
    <r>
      <rPr>
        <sz val="10"/>
        <rFont val="WenQuanYi Zen Hei"/>
        <family val="2"/>
      </rPr>
      <t xml:space="preserve">の目盛りを貼る</t>
    </r>
  </si>
  <si>
    <t xml:space="preserve">非常停止スイッチ</t>
  </si>
  <si>
    <r>
      <rPr>
        <sz val="10"/>
        <rFont val="Meiryo UI"/>
        <family val="0"/>
        <charset val="1"/>
      </rPr>
      <t xml:space="preserve">IDEC XA</t>
    </r>
    <r>
      <rPr>
        <sz val="10"/>
        <rFont val="WenQuanYi Zen Hei"/>
        <family val="2"/>
      </rPr>
      <t xml:space="preserve">シリーズ </t>
    </r>
    <r>
      <rPr>
        <sz val="10"/>
        <rFont val="Meiryo UI"/>
        <family val="0"/>
        <charset val="1"/>
      </rPr>
      <t xml:space="preserve">φ16 </t>
    </r>
    <r>
      <rPr>
        <sz val="10"/>
        <rFont val="WenQuanYi Zen Hei"/>
        <family val="2"/>
      </rPr>
      <t xml:space="preserve">非常停止用押しボタン（プッシュロック・ターンリセット、</t>
    </r>
    <r>
      <rPr>
        <sz val="10"/>
        <rFont val="Meiryo UI"/>
        <family val="0"/>
        <charset val="1"/>
      </rPr>
      <t xml:space="preserve">b</t>
    </r>
    <r>
      <rPr>
        <sz val="10"/>
        <rFont val="WenQuanYi Zen Hei"/>
        <family val="2"/>
      </rPr>
      <t xml:space="preserve">接点）</t>
    </r>
  </si>
  <si>
    <r>
      <rPr>
        <sz val="10"/>
        <rFont val="WenQuanYi Zen Hei"/>
        <family val="2"/>
      </rPr>
      <t xml:space="preserve">必ず </t>
    </r>
    <r>
      <rPr>
        <sz val="10"/>
        <rFont val="Meiryo UI"/>
        <family val="0"/>
        <charset val="1"/>
      </rPr>
      <t xml:space="preserve">b</t>
    </r>
    <r>
      <rPr>
        <sz val="10"/>
        <rFont val="WenQuanYi Zen Hei"/>
        <family val="2"/>
      </rPr>
      <t xml:space="preserve">接点（常時閉）</t>
    </r>
  </si>
  <si>
    <t xml:space="preserve">押しボタンスイッチ（緑）</t>
  </si>
  <si>
    <r>
      <rPr>
        <sz val="10"/>
        <rFont val="Meiryo UI"/>
        <family val="0"/>
        <charset val="1"/>
      </rPr>
      <t xml:space="preserve">IDEC φ16 </t>
    </r>
    <r>
      <rPr>
        <sz val="10"/>
        <rFont val="WenQuanYi Zen Hei"/>
        <family val="2"/>
      </rPr>
      <t xml:space="preserve">押しボタン モメンタリ </t>
    </r>
    <r>
      <rPr>
        <sz val="10"/>
        <rFont val="Meiryo UI"/>
        <family val="0"/>
        <charset val="1"/>
      </rPr>
      <t xml:space="preserve">a</t>
    </r>
    <r>
      <rPr>
        <sz val="10"/>
        <rFont val="WenQuanYi Zen Hei"/>
        <family val="2"/>
      </rPr>
      <t xml:space="preserve">接点 緑</t>
    </r>
  </si>
  <si>
    <t xml:space="preserve">主軸 起動</t>
  </si>
  <si>
    <t xml:space="preserve">押しボタンスイッチ（赤）</t>
  </si>
  <si>
    <r>
      <rPr>
        <sz val="10"/>
        <rFont val="Meiryo UI"/>
        <family val="0"/>
        <charset val="1"/>
      </rPr>
      <t xml:space="preserve">IDEC φ16 </t>
    </r>
    <r>
      <rPr>
        <sz val="10"/>
        <rFont val="WenQuanYi Zen Hei"/>
        <family val="2"/>
      </rPr>
      <t xml:space="preserve">押しボタン モメンタリ </t>
    </r>
    <r>
      <rPr>
        <sz val="10"/>
        <rFont val="Meiryo UI"/>
        <family val="0"/>
        <charset val="1"/>
      </rPr>
      <t xml:space="preserve">a</t>
    </r>
    <r>
      <rPr>
        <sz val="10"/>
        <rFont val="WenQuanYi Zen Hei"/>
        <family val="2"/>
      </rPr>
      <t xml:space="preserve">接点 赤</t>
    </r>
  </si>
  <si>
    <t xml:space="preserve">主軸 停止</t>
  </si>
  <si>
    <t xml:space="preserve">ボールハンドル</t>
  </si>
  <si>
    <r>
      <rPr>
        <sz val="10"/>
        <rFont val="WenQuanYi Zen Hei"/>
        <family val="2"/>
      </rPr>
      <t xml:space="preserve">二つ玉ハンドル（ミスミ・イマオコーポレーション等、穴径</t>
    </r>
    <r>
      <rPr>
        <sz val="10"/>
        <rFont val="Meiryo UI"/>
        <family val="0"/>
        <charset val="1"/>
      </rPr>
      <t xml:space="preserve">φ10mm</t>
    </r>
    <r>
      <rPr>
        <sz val="10"/>
        <rFont val="WenQuanYi Zen Hei"/>
        <family val="2"/>
      </rPr>
      <t xml:space="preserve">程度）</t>
    </r>
  </si>
  <si>
    <t xml:space="preserve">横送り・刃物送り台用</t>
  </si>
  <si>
    <t xml:space="preserve">ハンドル車</t>
  </si>
  <si>
    <r>
      <rPr>
        <sz val="10"/>
        <rFont val="WenQuanYi Zen Hei"/>
        <family val="2"/>
      </rPr>
      <t xml:space="preserve">回転ハンドル付きハンドル車 </t>
    </r>
    <r>
      <rPr>
        <sz val="10"/>
        <rFont val="Meiryo UI"/>
        <family val="0"/>
        <charset val="1"/>
      </rPr>
      <t xml:space="preserve">φ125</t>
    </r>
    <r>
      <rPr>
        <sz val="10"/>
        <rFont val="WenQuanYi Zen Hei"/>
        <family val="2"/>
      </rPr>
      <t xml:space="preserve">〜</t>
    </r>
    <r>
      <rPr>
        <sz val="10"/>
        <rFont val="Meiryo UI"/>
        <family val="0"/>
        <charset val="1"/>
      </rPr>
      <t xml:space="preserve">160mm</t>
    </r>
    <r>
      <rPr>
        <sz val="10"/>
        <rFont val="WenQuanYi Zen Hei"/>
        <family val="2"/>
      </rPr>
      <t xml:space="preserve">（ミスミ・イマオコーポレーション等）</t>
    </r>
  </si>
  <si>
    <t xml:space="preserve">往復台用</t>
  </si>
  <si>
    <t xml:space="preserve">ベアリング</t>
  </si>
  <si>
    <r>
      <rPr>
        <sz val="10"/>
        <rFont val="WenQuanYi Zen Hei"/>
        <family val="2"/>
      </rPr>
      <t xml:space="preserve">深溝玉軸受 </t>
    </r>
    <r>
      <rPr>
        <sz val="10"/>
        <rFont val="Meiryo UI"/>
        <family val="0"/>
        <charset val="1"/>
      </rPr>
      <t xml:space="preserve">6000ZZ</t>
    </r>
    <r>
      <rPr>
        <sz val="10"/>
        <rFont val="WenQuanYi Zen Hei"/>
        <family val="2"/>
      </rPr>
      <t xml:space="preserve">（内径</t>
    </r>
    <r>
      <rPr>
        <sz val="10"/>
        <rFont val="Meiryo UI"/>
        <family val="0"/>
        <charset val="1"/>
      </rPr>
      <t xml:space="preserve">10×</t>
    </r>
    <r>
      <rPr>
        <sz val="10"/>
        <rFont val="WenQuanYi Zen Hei"/>
        <family val="2"/>
      </rPr>
      <t xml:space="preserve">外径</t>
    </r>
    <r>
      <rPr>
        <sz val="10"/>
        <rFont val="Meiryo UI"/>
        <family val="0"/>
        <charset val="1"/>
      </rPr>
      <t xml:space="preserve">26×</t>
    </r>
    <r>
      <rPr>
        <sz val="10"/>
        <rFont val="WenQuanYi Zen Hei"/>
        <family val="2"/>
      </rPr>
      <t xml:space="preserve">幅</t>
    </r>
    <r>
      <rPr>
        <sz val="10"/>
        <rFont val="Meiryo UI"/>
        <family val="0"/>
        <charset val="1"/>
      </rPr>
      <t xml:space="preserve">8mm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</si>
  <si>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各軸</t>
    </r>
    <r>
      <rPr>
        <sz val="10"/>
        <rFont val="Meiryo UI"/>
        <family val="0"/>
        <charset val="1"/>
      </rPr>
      <t xml:space="preserve">2</t>
    </r>
    <r>
      <rPr>
        <sz val="10"/>
        <rFont val="WenQuanYi Zen Hei"/>
        <family val="2"/>
      </rPr>
      <t xml:space="preserve">個</t>
    </r>
  </si>
  <si>
    <t xml:space="preserve">シャフト</t>
  </si>
  <si>
    <r>
      <rPr>
        <sz val="10"/>
        <rFont val="WenQuanYi Zen Hei"/>
        <family val="2"/>
      </rPr>
      <t xml:space="preserve">研磨シャフト </t>
    </r>
    <r>
      <rPr>
        <sz val="10"/>
        <rFont val="Meiryo UI"/>
        <family val="0"/>
        <charset val="1"/>
      </rPr>
      <t xml:space="preserve">φ10×100mm</t>
    </r>
    <r>
      <rPr>
        <sz val="10"/>
        <rFont val="WenQuanYi Zen Hei"/>
        <family val="2"/>
      </rPr>
      <t xml:space="preserve">（ミスミ </t>
    </r>
    <r>
      <rPr>
        <sz val="10"/>
        <rFont val="Meiryo UI"/>
        <family val="0"/>
        <charset val="1"/>
      </rPr>
      <t xml:space="preserve">PSFJ </t>
    </r>
    <r>
      <rPr>
        <sz val="10"/>
        <rFont val="WenQuanYi Zen Hei"/>
        <family val="2"/>
      </rPr>
      <t xml:space="preserve">等）</t>
    </r>
  </si>
  <si>
    <t xml:space="preserve">ハンドル軸</t>
  </si>
  <si>
    <t xml:space="preserve">フレキシブルカップリング</t>
  </si>
  <si>
    <r>
      <rPr>
        <sz val="10"/>
        <rFont val="WenQuanYi Zen Hei"/>
        <family val="2"/>
      </rPr>
      <t xml:space="preserve">スリット形 フレキシブルカップリング 穴径 </t>
    </r>
    <r>
      <rPr>
        <sz val="10"/>
        <rFont val="Meiryo UI"/>
        <family val="0"/>
        <charset val="1"/>
      </rPr>
      <t xml:space="preserve">φ6mm–φ10mm</t>
    </r>
  </si>
  <si>
    <t xml:space="preserve">エンコーダー軸に力をかけないため</t>
  </si>
  <si>
    <t xml:space="preserve">モバイルバッテリー</t>
  </si>
  <si>
    <r>
      <rPr>
        <sz val="10"/>
        <rFont val="Meiryo UI"/>
        <family val="0"/>
        <charset val="1"/>
      </rPr>
      <t xml:space="preserve">USB</t>
    </r>
    <r>
      <rPr>
        <sz val="10"/>
        <rFont val="WenQuanYi Zen Hei"/>
        <family val="2"/>
      </rPr>
      <t xml:space="preserve">出力 </t>
    </r>
    <r>
      <rPr>
        <sz val="10"/>
        <rFont val="Meiryo UI"/>
        <family val="0"/>
        <charset val="1"/>
      </rPr>
      <t xml:space="preserve">5V/2A</t>
    </r>
    <r>
      <rPr>
        <sz val="10"/>
        <rFont val="WenQuanYi Zen Hei"/>
        <family val="2"/>
      </rPr>
      <t xml:space="preserve">以上、</t>
    </r>
    <r>
      <rPr>
        <sz val="10"/>
        <rFont val="Meiryo UI"/>
        <family val="0"/>
        <charset val="1"/>
      </rPr>
      <t xml:space="preserve">10000mAh</t>
    </r>
    <r>
      <rPr>
        <sz val="10"/>
        <rFont val="WenQuanYi Zen Hei"/>
        <family val="2"/>
      </rPr>
      <t xml:space="preserve">程度</t>
    </r>
  </si>
  <si>
    <r>
      <rPr>
        <sz val="10"/>
        <rFont val="Meiryo UI"/>
        <family val="0"/>
        <charset val="1"/>
      </rPr>
      <t xml:space="preserve">USB</t>
    </r>
    <r>
      <rPr>
        <sz val="10"/>
        <rFont val="WenQuanYi Zen Hei"/>
        <family val="2"/>
      </rPr>
      <t xml:space="preserve">ケーブル</t>
    </r>
  </si>
  <si>
    <r>
      <rPr>
        <sz val="10"/>
        <rFont val="Meiryo UI"/>
        <family val="0"/>
        <charset val="1"/>
      </rPr>
      <t xml:space="preserve">USB-C – micro-USB</t>
    </r>
    <r>
      <rPr>
        <sz val="10"/>
        <rFont val="WenQuanYi Zen Hei"/>
        <family val="2"/>
      </rPr>
      <t xml:space="preserve">（データ通信対応）</t>
    </r>
    <r>
      <rPr>
        <sz val="10"/>
        <rFont val="Meiryo UI"/>
        <family val="0"/>
        <charset val="1"/>
      </rPr>
      <t xml:space="preserve">1m</t>
    </r>
  </si>
  <si>
    <r>
      <rPr>
        <sz val="10"/>
        <rFont val="Meiryo UI"/>
        <family val="0"/>
        <charset val="1"/>
      </rPr>
      <t xml:space="preserve">USB-C </t>
    </r>
    <r>
      <rPr>
        <sz val="10"/>
        <rFont val="WenQuanYi Zen Hei"/>
        <family val="2"/>
      </rPr>
      <t xml:space="preserve">端子のタブレット用</t>
    </r>
  </si>
  <si>
    <r>
      <rPr>
        <sz val="10"/>
        <rFont val="Meiryo UI"/>
        <family val="0"/>
        <charset val="1"/>
      </rPr>
      <t xml:space="preserve">USB-A – micro-USB</t>
    </r>
    <r>
      <rPr>
        <sz val="10"/>
        <rFont val="WenQuanYi Zen Hei"/>
        <family val="2"/>
      </rPr>
      <t xml:space="preserve">（データ通信対応）</t>
    </r>
    <r>
      <rPr>
        <sz val="10"/>
        <rFont val="Meiryo UI"/>
        <family val="0"/>
        <charset val="1"/>
      </rPr>
      <t xml:space="preserve">1m</t>
    </r>
  </si>
  <si>
    <r>
      <rPr>
        <sz val="10"/>
        <rFont val="Meiryo UI"/>
        <family val="0"/>
        <charset val="1"/>
      </rPr>
      <t xml:space="preserve">USB-A </t>
    </r>
    <r>
      <rPr>
        <sz val="10"/>
        <rFont val="WenQuanYi Zen Hei"/>
        <family val="2"/>
      </rPr>
      <t xml:space="preserve">端子のタブレット用</t>
    </r>
  </si>
  <si>
    <t xml:space="preserve">アルミフレーム</t>
  </si>
  <si>
    <r>
      <rPr>
        <sz val="10"/>
        <rFont val="WenQuanYi Zen Hei"/>
        <family val="2"/>
      </rPr>
      <t xml:space="preserve">アルミフレーム </t>
    </r>
    <r>
      <rPr>
        <sz val="10"/>
        <rFont val="Meiryo UI"/>
        <family val="0"/>
        <charset val="1"/>
      </rPr>
      <t xml:space="preserve">20×20</t>
    </r>
    <r>
      <rPr>
        <sz val="10"/>
        <rFont val="WenQuanYi Zen Hei"/>
        <family val="2"/>
      </rPr>
      <t xml:space="preserve">（ミスミ </t>
    </r>
    <r>
      <rPr>
        <sz val="10"/>
        <rFont val="Meiryo UI"/>
        <family val="0"/>
        <charset val="1"/>
      </rPr>
      <t xml:space="preserve">HFS5 </t>
    </r>
    <r>
      <rPr>
        <sz val="10"/>
        <rFont val="WenQuanYi Zen Hei"/>
        <family val="2"/>
      </rPr>
      <t xml:space="preserve">シリーズ等）、ブラケット・ナット一式</t>
    </r>
  </si>
  <si>
    <t xml:space="preserve">筐体</t>
  </si>
  <si>
    <t xml:space="preserve">天板</t>
  </si>
  <si>
    <r>
      <rPr>
        <sz val="10"/>
        <rFont val="WenQuanYi Zen Hei"/>
        <family val="2"/>
      </rPr>
      <t xml:space="preserve">アルミ板 </t>
    </r>
    <r>
      <rPr>
        <sz val="10"/>
        <rFont val="Meiryo UI"/>
        <family val="0"/>
        <charset val="1"/>
      </rPr>
      <t xml:space="preserve">t3 </t>
    </r>
    <r>
      <rPr>
        <sz val="10"/>
        <rFont val="WenQuanYi Zen Hei"/>
        <family val="2"/>
      </rPr>
      <t xml:space="preserve">または </t>
    </r>
    <r>
      <rPr>
        <sz val="10"/>
        <rFont val="Meiryo UI"/>
        <family val="0"/>
        <charset val="1"/>
      </rPr>
      <t xml:space="preserve">MDF t12</t>
    </r>
    <r>
      <rPr>
        <sz val="10"/>
        <rFont val="WenQuanYi Zen Hei"/>
        <family val="2"/>
      </rPr>
      <t xml:space="preserve">、</t>
    </r>
    <r>
      <rPr>
        <sz val="10"/>
        <rFont val="Meiryo UI"/>
        <family val="0"/>
        <charset val="1"/>
      </rPr>
      <t xml:space="preserve">300×400mm</t>
    </r>
    <r>
      <rPr>
        <sz val="10"/>
        <rFont val="WenQuanYi Zen Hei"/>
        <family val="2"/>
      </rPr>
      <t xml:space="preserve">程度</t>
    </r>
  </si>
  <si>
    <t xml:space="preserve">配線材</t>
  </si>
  <si>
    <t xml:space="preserve">ブレッドボード、ジャンパーワイヤ、ユニバーサル基板、コネクタ類</t>
  </si>
  <si>
    <t xml:space="preserve">最初はブレッドボードで確認</t>
  </si>
  <si>
    <t xml:space="preserve">有線イヤホン</t>
  </si>
  <si>
    <r>
      <rPr>
        <sz val="10"/>
        <rFont val="Meiryo UI"/>
        <family val="0"/>
        <charset val="1"/>
      </rPr>
      <t xml:space="preserve">3.5mm</t>
    </r>
    <r>
      <rPr>
        <sz val="10"/>
        <rFont val="WenQuanYi Zen Hei"/>
        <family val="2"/>
      </rPr>
      <t xml:space="preserve">プラグ 有線イヤホン（</t>
    </r>
    <r>
      <rPr>
        <sz val="10"/>
        <rFont val="Meiryo UI"/>
        <family val="0"/>
        <charset val="1"/>
      </rPr>
      <t xml:space="preserve">USB-C </t>
    </r>
    <r>
      <rPr>
        <sz val="10"/>
        <rFont val="WenQuanYi Zen Hei"/>
        <family val="2"/>
      </rPr>
      <t xml:space="preserve">端子のみの端末は </t>
    </r>
    <r>
      <rPr>
        <sz val="10"/>
        <rFont val="Meiryo UI"/>
        <family val="0"/>
        <charset val="1"/>
      </rPr>
      <t xml:space="preserve">USB-C </t>
    </r>
    <r>
      <rPr>
        <sz val="10"/>
        <rFont val="WenQuanYi Zen Hei"/>
        <family val="2"/>
      </rPr>
      <t xml:space="preserve">有線イヤホン）</t>
    </r>
  </si>
  <si>
    <r>
      <rPr>
        <sz val="10"/>
        <rFont val="Meiryo UI"/>
        <family val="0"/>
        <charset val="1"/>
      </rPr>
      <t xml:space="preserve">Bluetooth </t>
    </r>
    <r>
      <rPr>
        <sz val="10"/>
        <rFont val="WenQuanYi Zen Hei"/>
        <family val="2"/>
      </rPr>
      <t xml:space="preserve">イヤホンは使わない</t>
    </r>
  </si>
  <si>
    <r>
      <rPr>
        <b val="true"/>
        <sz val="10"/>
        <rFont val="Meiryo UI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台あたりの合計</t>
    </r>
  </si>
  <si>
    <t xml:space="preserve">作る台数分の合計</t>
  </si>
  <si>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台あたりの合計 </t>
    </r>
    <r>
      <rPr>
        <sz val="10"/>
        <rFont val="Meiryo UI"/>
        <family val="0"/>
        <charset val="1"/>
      </rPr>
      <t xml:space="preserve">× </t>
    </r>
    <r>
      <rPr>
        <sz val="10"/>
        <rFont val="WenQuanYi Zen Hei"/>
        <family val="2"/>
      </rPr>
      <t xml:space="preserve">作る台数（予備部品は別に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割程度見込む）</t>
    </r>
  </si>
  <si>
    <t xml:space="preserve">注意</t>
  </si>
  <si>
    <t xml:space="preserve">・品目の型番は代表例。同じ規格の他社品でもよい。振動素子・ハンドル類は、購入前に寸法と仕様を確認する。</t>
  </si>
  <si>
    <r>
      <rPr>
        <sz val="9"/>
        <rFont val="WenQuanYi Zen Hei"/>
        <family val="2"/>
      </rPr>
      <t xml:space="preserve">・エンコーダーは必ずオープンコレクタ出力（</t>
    </r>
    <r>
      <rPr>
        <sz val="9"/>
        <rFont val="Meiryo UI"/>
        <family val="0"/>
        <charset val="1"/>
      </rPr>
      <t xml:space="preserve">NPN</t>
    </r>
    <r>
      <rPr>
        <sz val="9"/>
        <rFont val="WenQuanYi Zen Hei"/>
        <family val="2"/>
      </rPr>
      <t xml:space="preserve">）のものを選ぶ（</t>
    </r>
    <r>
      <rPr>
        <sz val="9"/>
        <rFont val="Meiryo UI"/>
        <family val="0"/>
        <charset val="1"/>
      </rPr>
      <t xml:space="preserve">ESP32 </t>
    </r>
    <r>
      <rPr>
        <sz val="9"/>
        <rFont val="WenQuanYi Zen Hei"/>
        <family val="2"/>
      </rPr>
      <t xml:space="preserve">の </t>
    </r>
    <r>
      <rPr>
        <sz val="9"/>
        <rFont val="Meiryo UI"/>
        <family val="0"/>
        <charset val="1"/>
      </rPr>
      <t xml:space="preserve">3.3V </t>
    </r>
    <r>
      <rPr>
        <sz val="9"/>
        <rFont val="WenQuanYi Zen Hei"/>
        <family val="2"/>
      </rPr>
      <t xml:space="preserve">にプルアップして使うため）。</t>
    </r>
  </si>
  <si>
    <r>
      <rPr>
        <sz val="9"/>
        <rFont val="WenQuanYi Zen Hei"/>
        <family val="2"/>
      </rPr>
      <t xml:space="preserve">・</t>
    </r>
    <r>
      <rPr>
        <sz val="9"/>
        <rFont val="Meiryo UI"/>
        <family val="0"/>
        <charset val="1"/>
      </rPr>
      <t xml:space="preserve">ESP32 </t>
    </r>
    <r>
      <rPr>
        <sz val="9"/>
        <rFont val="WenQuanYi Zen Hei"/>
        <family val="2"/>
      </rPr>
      <t xml:space="preserve">の </t>
    </r>
    <r>
      <rPr>
        <sz val="9"/>
        <rFont val="Meiryo UI"/>
        <family val="0"/>
        <charset val="1"/>
      </rPr>
      <t xml:space="preserve">USB </t>
    </r>
    <r>
      <rPr>
        <sz val="9"/>
        <rFont val="WenQuanYi Zen Hei"/>
        <family val="2"/>
      </rPr>
      <t xml:space="preserve">変換チップのドライバー（</t>
    </r>
    <r>
      <rPr>
        <sz val="9"/>
        <rFont val="Meiryo UI"/>
        <family val="0"/>
        <charset val="1"/>
      </rPr>
      <t xml:space="preserve">CP210x</t>
    </r>
    <r>
      <rPr>
        <sz val="9"/>
        <rFont val="WenQuanYi Zen Hei"/>
        <family val="2"/>
      </rPr>
      <t xml:space="preserve">）が学校の端末に入っているかを </t>
    </r>
    <r>
      <rPr>
        <sz val="9"/>
        <rFont val="Meiryo UI"/>
        <family val="0"/>
        <charset val="1"/>
      </rPr>
      <t xml:space="preserve">ICT </t>
    </r>
    <r>
      <rPr>
        <sz val="9"/>
        <rFont val="WenQuanYi Zen Hei"/>
        <family val="2"/>
      </rPr>
      <t xml:space="preserve">担当に確認する。</t>
    </r>
  </si>
  <si>
    <t xml:space="preserve">・タブレットは生徒用端末を使うため、この一覧には入れていない。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</si>
</sst>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Meiryo UI"/>
      <family val="0"/>
      <charset val="1"/>
    </font>
    <font>
      <sz val="9"/>
      <color rgb="FF555555"/>
      <name val="WenQuanYi Zen Hei"/>
      <family val="2"/>
    </font>
    <font>
      <sz val="9"/>
      <color rgb="FF555555"/>
      <name val="Meiryo UI"/>
      <family val="0"/>
      <charset val="1"/>
    </font>
    <font>
      <b val="true"/>
      <sz val="10"/>
      <name val="WenQuanYi Zen Hei"/>
      <family val="2"/>
    </font>
    <font>
      <sz val="10"/>
      <color rgb="FF0000FF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b val="true"/>
      <sz val="10"/>
      <color rgb="FFFFFFFF"/>
      <name val="WenQuanYi Zen Hei"/>
      <family val="2"/>
    </font>
    <font>
      <sz val="10"/>
      <name val="Meiryo UI"/>
      <family val="0"/>
      <charset val="1"/>
    </font>
    <font>
      <sz val="10"/>
      <name val="WenQuanYi Zen Hei"/>
      <family val="2"/>
    </font>
    <font>
      <b val="true"/>
      <sz val="10"/>
      <name val="Meiryo UI"/>
      <family val="0"/>
      <charset val="1"/>
    </font>
    <font>
      <b val="true"/>
      <sz val="9"/>
      <name val="WenQuanYi Zen Hei"/>
      <family val="2"/>
    </font>
    <font>
      <sz val="9"/>
      <name val="WenQuanYi Zen Hei"/>
      <family val="2"/>
    </font>
    <font>
      <sz val="9"/>
      <name val="Meiryo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58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1</v>
      </c>
      <c r="C4" s="5" t="s">
        <v>3</v>
      </c>
    </row>
    <row r="6" customFormat="false" ht="15" hidden="false" customHeight="false" outlineLevel="0" collapsed="false">
      <c r="A6" s="6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 customFormat="false" ht="26.85" hidden="false" customHeight="false" outlineLevel="0" collapsed="false">
      <c r="A7" s="8" t="n">
        <v>1</v>
      </c>
      <c r="B7" s="9" t="s">
        <v>11</v>
      </c>
      <c r="C7" s="10" t="s">
        <v>12</v>
      </c>
      <c r="D7" s="11" t="n">
        <v>1600</v>
      </c>
      <c r="E7" s="12" t="n">
        <v>2</v>
      </c>
      <c r="F7" s="13" t="n">
        <f aca="false">D7*E7</f>
        <v>3200</v>
      </c>
      <c r="G7" s="10" t="s">
        <v>13</v>
      </c>
    </row>
    <row r="8" customFormat="false" ht="26.85" hidden="false" customHeight="false" outlineLevel="0" collapsed="false">
      <c r="A8" s="8" t="n">
        <v>2</v>
      </c>
      <c r="B8" s="9" t="s">
        <v>14</v>
      </c>
      <c r="C8" s="9" t="s">
        <v>15</v>
      </c>
      <c r="D8" s="11" t="n">
        <v>2000</v>
      </c>
      <c r="E8" s="12" t="n">
        <v>3</v>
      </c>
      <c r="F8" s="13" t="n">
        <f aca="false">D8*E8</f>
        <v>6000</v>
      </c>
      <c r="G8" s="9" t="s">
        <v>16</v>
      </c>
    </row>
    <row r="9" customFormat="false" ht="26.85" hidden="false" customHeight="false" outlineLevel="0" collapsed="false">
      <c r="A9" s="8" t="n">
        <v>3</v>
      </c>
      <c r="B9" s="9" t="s">
        <v>17</v>
      </c>
      <c r="C9" s="9" t="s">
        <v>18</v>
      </c>
      <c r="D9" s="11" t="n">
        <v>10</v>
      </c>
      <c r="E9" s="12" t="n">
        <v>10</v>
      </c>
      <c r="F9" s="13" t="n">
        <f aca="false">D9*E9</f>
        <v>100</v>
      </c>
      <c r="G9" s="9" t="s">
        <v>19</v>
      </c>
    </row>
    <row r="10" customFormat="false" ht="26.85" hidden="false" customHeight="false" outlineLevel="0" collapsed="false">
      <c r="A10" s="8" t="n">
        <v>4</v>
      </c>
      <c r="B10" s="9" t="s">
        <v>20</v>
      </c>
      <c r="C10" s="10" t="s">
        <v>21</v>
      </c>
      <c r="D10" s="11" t="n">
        <v>1500</v>
      </c>
      <c r="E10" s="12" t="n">
        <v>3</v>
      </c>
      <c r="F10" s="13" t="n">
        <f aca="false">D10*E10</f>
        <v>4500</v>
      </c>
      <c r="G10" s="10" t="s">
        <v>22</v>
      </c>
    </row>
    <row r="11" customFormat="false" ht="26.85" hidden="false" customHeight="false" outlineLevel="0" collapsed="false">
      <c r="A11" s="8" t="n">
        <v>5</v>
      </c>
      <c r="B11" s="9" t="s">
        <v>23</v>
      </c>
      <c r="C11" s="9" t="s">
        <v>24</v>
      </c>
      <c r="D11" s="11" t="n">
        <v>500</v>
      </c>
      <c r="E11" s="12" t="n">
        <v>3</v>
      </c>
      <c r="F11" s="13" t="n">
        <f aca="false">D11*E11</f>
        <v>1500</v>
      </c>
      <c r="G11" s="9" t="s">
        <v>25</v>
      </c>
    </row>
    <row r="12" customFormat="false" ht="26.85" hidden="false" customHeight="false" outlineLevel="0" collapsed="false">
      <c r="A12" s="8" t="n">
        <v>6</v>
      </c>
      <c r="B12" s="10" t="s">
        <v>26</v>
      </c>
      <c r="C12" s="10" t="s">
        <v>27</v>
      </c>
      <c r="D12" s="11" t="n">
        <v>1000</v>
      </c>
      <c r="E12" s="12" t="n">
        <v>1</v>
      </c>
      <c r="F12" s="13" t="n">
        <f aca="false">D12*E12</f>
        <v>1000</v>
      </c>
      <c r="G12" s="10" t="s">
        <v>28</v>
      </c>
    </row>
    <row r="13" customFormat="false" ht="15" hidden="false" customHeight="false" outlineLevel="0" collapsed="false">
      <c r="A13" s="8" t="n">
        <v>7</v>
      </c>
      <c r="B13" s="9" t="s">
        <v>29</v>
      </c>
      <c r="C13" s="9" t="s">
        <v>30</v>
      </c>
      <c r="D13" s="11" t="n">
        <v>400</v>
      </c>
      <c r="E13" s="12" t="n">
        <v>1</v>
      </c>
      <c r="F13" s="13" t="n">
        <f aca="false">D13*E13</f>
        <v>400</v>
      </c>
      <c r="G13" s="9" t="s">
        <v>31</v>
      </c>
    </row>
    <row r="14" customFormat="false" ht="15" hidden="false" customHeight="false" outlineLevel="0" collapsed="false">
      <c r="A14" s="8" t="n">
        <v>8</v>
      </c>
      <c r="B14" s="9" t="s">
        <v>32</v>
      </c>
      <c r="C14" s="9" t="s">
        <v>33</v>
      </c>
      <c r="D14" s="11" t="n">
        <v>600</v>
      </c>
      <c r="E14" s="12" t="n">
        <v>1</v>
      </c>
      <c r="F14" s="13" t="n">
        <f aca="false">D14*E14</f>
        <v>600</v>
      </c>
      <c r="G14" s="10" t="s">
        <v>34</v>
      </c>
    </row>
    <row r="15" customFormat="false" ht="26.85" hidden="false" customHeight="false" outlineLevel="0" collapsed="false">
      <c r="A15" s="8" t="n">
        <v>9</v>
      </c>
      <c r="B15" s="9" t="s">
        <v>35</v>
      </c>
      <c r="C15" s="10" t="s">
        <v>36</v>
      </c>
      <c r="D15" s="11" t="n">
        <v>1800</v>
      </c>
      <c r="E15" s="12" t="n">
        <v>1</v>
      </c>
      <c r="F15" s="13" t="n">
        <f aca="false">D15*E15</f>
        <v>1800</v>
      </c>
      <c r="G15" s="9" t="s">
        <v>37</v>
      </c>
    </row>
    <row r="16" customFormat="false" ht="26.85" hidden="false" customHeight="false" outlineLevel="0" collapsed="false">
      <c r="A16" s="8" t="n">
        <v>10</v>
      </c>
      <c r="B16" s="9" t="s">
        <v>38</v>
      </c>
      <c r="C16" s="10" t="s">
        <v>39</v>
      </c>
      <c r="D16" s="11" t="n">
        <v>400</v>
      </c>
      <c r="E16" s="12" t="n">
        <v>1</v>
      </c>
      <c r="F16" s="13" t="n">
        <f aca="false">D16*E16</f>
        <v>400</v>
      </c>
      <c r="G16" s="9" t="s">
        <v>40</v>
      </c>
    </row>
    <row r="17" customFormat="false" ht="26.85" hidden="false" customHeight="false" outlineLevel="0" collapsed="false">
      <c r="A17" s="8" t="n">
        <v>11</v>
      </c>
      <c r="B17" s="9" t="s">
        <v>41</v>
      </c>
      <c r="C17" s="10" t="s">
        <v>42</v>
      </c>
      <c r="D17" s="11" t="n">
        <v>400</v>
      </c>
      <c r="E17" s="12" t="n">
        <v>1</v>
      </c>
      <c r="F17" s="13" t="n">
        <f aca="false">D17*E17</f>
        <v>400</v>
      </c>
      <c r="G17" s="9" t="s">
        <v>43</v>
      </c>
    </row>
    <row r="18" customFormat="false" ht="26.85" hidden="false" customHeight="false" outlineLevel="0" collapsed="false">
      <c r="A18" s="8" t="n">
        <v>12</v>
      </c>
      <c r="B18" s="9" t="s">
        <v>44</v>
      </c>
      <c r="C18" s="9" t="s">
        <v>45</v>
      </c>
      <c r="D18" s="11" t="n">
        <v>3000</v>
      </c>
      <c r="E18" s="12" t="n">
        <v>2</v>
      </c>
      <c r="F18" s="13" t="n">
        <f aca="false">D18*E18</f>
        <v>6000</v>
      </c>
      <c r="G18" s="9" t="s">
        <v>46</v>
      </c>
    </row>
    <row r="19" customFormat="false" ht="26.85" hidden="false" customHeight="false" outlineLevel="0" collapsed="false">
      <c r="A19" s="8" t="n">
        <v>13</v>
      </c>
      <c r="B19" s="9" t="s">
        <v>47</v>
      </c>
      <c r="C19" s="9" t="s">
        <v>48</v>
      </c>
      <c r="D19" s="11" t="n">
        <v>4000</v>
      </c>
      <c r="E19" s="12" t="n">
        <v>1</v>
      </c>
      <c r="F19" s="13" t="n">
        <f aca="false">D19*E19</f>
        <v>4000</v>
      </c>
      <c r="G19" s="9" t="s">
        <v>49</v>
      </c>
    </row>
    <row r="20" customFormat="false" ht="15" hidden="false" customHeight="false" outlineLevel="0" collapsed="false">
      <c r="A20" s="8" t="n">
        <v>14</v>
      </c>
      <c r="B20" s="9" t="s">
        <v>50</v>
      </c>
      <c r="C20" s="9" t="s">
        <v>51</v>
      </c>
      <c r="D20" s="11" t="n">
        <v>150</v>
      </c>
      <c r="E20" s="12" t="n">
        <v>6</v>
      </c>
      <c r="F20" s="13" t="n">
        <f aca="false">D20*E20</f>
        <v>900</v>
      </c>
      <c r="G20" s="9" t="s">
        <v>52</v>
      </c>
    </row>
    <row r="21" customFormat="false" ht="15" hidden="false" customHeight="false" outlineLevel="0" collapsed="false">
      <c r="A21" s="8" t="n">
        <v>15</v>
      </c>
      <c r="B21" s="9" t="s">
        <v>53</v>
      </c>
      <c r="C21" s="9" t="s">
        <v>54</v>
      </c>
      <c r="D21" s="11" t="n">
        <v>600</v>
      </c>
      <c r="E21" s="12" t="n">
        <v>3</v>
      </c>
      <c r="F21" s="13" t="n">
        <f aca="false">D21*E21</f>
        <v>1800</v>
      </c>
      <c r="G21" s="9" t="s">
        <v>55</v>
      </c>
    </row>
    <row r="22" customFormat="false" ht="26.85" hidden="false" customHeight="false" outlineLevel="0" collapsed="false">
      <c r="A22" s="8" t="n">
        <v>16</v>
      </c>
      <c r="B22" s="9" t="s">
        <v>56</v>
      </c>
      <c r="C22" s="9" t="s">
        <v>57</v>
      </c>
      <c r="D22" s="11" t="n">
        <v>500</v>
      </c>
      <c r="E22" s="12" t="n">
        <v>3</v>
      </c>
      <c r="F22" s="13" t="n">
        <f aca="false">D22*E22</f>
        <v>1500</v>
      </c>
      <c r="G22" s="9" t="s">
        <v>58</v>
      </c>
    </row>
    <row r="23" customFormat="false" ht="15" hidden="false" customHeight="false" outlineLevel="0" collapsed="false">
      <c r="A23" s="8" t="n">
        <v>17</v>
      </c>
      <c r="B23" s="9" t="s">
        <v>59</v>
      </c>
      <c r="C23" s="10" t="s">
        <v>60</v>
      </c>
      <c r="D23" s="11" t="n">
        <v>2000</v>
      </c>
      <c r="E23" s="12" t="n">
        <v>1</v>
      </c>
      <c r="F23" s="13" t="n">
        <f aca="false">D23*E23</f>
        <v>2000</v>
      </c>
      <c r="G23" s="10"/>
    </row>
    <row r="24" customFormat="false" ht="15" hidden="false" customHeight="false" outlineLevel="0" collapsed="false">
      <c r="A24" s="8" t="n">
        <v>18</v>
      </c>
      <c r="B24" s="10" t="s">
        <v>61</v>
      </c>
      <c r="C24" s="10" t="s">
        <v>62</v>
      </c>
      <c r="D24" s="11" t="n">
        <v>500</v>
      </c>
      <c r="E24" s="12" t="n">
        <v>1</v>
      </c>
      <c r="F24" s="13" t="n">
        <f aca="false">D24*E24</f>
        <v>500</v>
      </c>
      <c r="G24" s="10" t="s">
        <v>63</v>
      </c>
    </row>
    <row r="25" customFormat="false" ht="15" hidden="false" customHeight="false" outlineLevel="0" collapsed="false">
      <c r="A25" s="8" t="n">
        <v>19</v>
      </c>
      <c r="B25" s="10" t="s">
        <v>61</v>
      </c>
      <c r="C25" s="10" t="s">
        <v>64</v>
      </c>
      <c r="D25" s="11" t="n">
        <v>400</v>
      </c>
      <c r="E25" s="12" t="n">
        <v>1</v>
      </c>
      <c r="F25" s="13" t="n">
        <f aca="false">D25*E25</f>
        <v>400</v>
      </c>
      <c r="G25" s="10" t="s">
        <v>65</v>
      </c>
    </row>
    <row r="26" customFormat="false" ht="26.85" hidden="false" customHeight="false" outlineLevel="0" collapsed="false">
      <c r="A26" s="8" t="n">
        <v>20</v>
      </c>
      <c r="B26" s="9" t="s">
        <v>66</v>
      </c>
      <c r="C26" s="9" t="s">
        <v>67</v>
      </c>
      <c r="D26" s="11" t="n">
        <v>3000</v>
      </c>
      <c r="E26" s="12" t="n">
        <v>1</v>
      </c>
      <c r="F26" s="13" t="n">
        <f aca="false">D26*E26</f>
        <v>3000</v>
      </c>
      <c r="G26" s="9" t="s">
        <v>68</v>
      </c>
    </row>
    <row r="27" customFormat="false" ht="15" hidden="false" customHeight="false" outlineLevel="0" collapsed="false">
      <c r="A27" s="8" t="n">
        <v>21</v>
      </c>
      <c r="B27" s="9" t="s">
        <v>69</v>
      </c>
      <c r="C27" s="9" t="s">
        <v>70</v>
      </c>
      <c r="D27" s="11" t="n">
        <v>2000</v>
      </c>
      <c r="E27" s="12" t="n">
        <v>1</v>
      </c>
      <c r="F27" s="13" t="n">
        <f aca="false">D27*E27</f>
        <v>2000</v>
      </c>
      <c r="G27" s="9" t="s">
        <v>68</v>
      </c>
    </row>
    <row r="28" customFormat="false" ht="15" hidden="false" customHeight="false" outlineLevel="0" collapsed="false">
      <c r="A28" s="8" t="n">
        <v>22</v>
      </c>
      <c r="B28" s="9" t="s">
        <v>71</v>
      </c>
      <c r="C28" s="9" t="s">
        <v>72</v>
      </c>
      <c r="D28" s="11" t="n">
        <v>1500</v>
      </c>
      <c r="E28" s="12" t="n">
        <v>1</v>
      </c>
      <c r="F28" s="13" t="n">
        <f aca="false">D28*E28</f>
        <v>1500</v>
      </c>
      <c r="G28" s="9" t="s">
        <v>73</v>
      </c>
    </row>
    <row r="29" customFormat="false" ht="26.85" hidden="false" customHeight="false" outlineLevel="0" collapsed="false">
      <c r="A29" s="8" t="n">
        <v>23</v>
      </c>
      <c r="B29" s="9" t="s">
        <v>74</v>
      </c>
      <c r="C29" s="10" t="s">
        <v>75</v>
      </c>
      <c r="D29" s="11" t="n">
        <v>1000</v>
      </c>
      <c r="E29" s="12" t="n">
        <v>1</v>
      </c>
      <c r="F29" s="13" t="n">
        <f aca="false">D29*E29</f>
        <v>1000</v>
      </c>
      <c r="G29" s="10" t="s">
        <v>76</v>
      </c>
    </row>
    <row r="30" customFormat="false" ht="15" hidden="false" customHeight="false" outlineLevel="0" collapsed="false">
      <c r="A30" s="14"/>
      <c r="B30" s="15" t="s">
        <v>77</v>
      </c>
      <c r="C30" s="14"/>
      <c r="D30" s="14"/>
      <c r="E30" s="14"/>
      <c r="F30" s="16" t="n">
        <f aca="false">SUM(F7:F29)</f>
        <v>44500</v>
      </c>
      <c r="G30" s="14"/>
    </row>
    <row r="31" customFormat="false" ht="15" hidden="false" customHeight="false" outlineLevel="0" collapsed="false">
      <c r="A31" s="14"/>
      <c r="B31" s="17" t="s">
        <v>78</v>
      </c>
      <c r="C31" s="14" t="s">
        <v>79</v>
      </c>
      <c r="D31" s="14"/>
      <c r="E31" s="14"/>
      <c r="F31" s="16" t="n">
        <f aca="false">F30*B4</f>
        <v>44500</v>
      </c>
      <c r="G31" s="14"/>
    </row>
    <row r="33" customFormat="false" ht="15" hidden="false" customHeight="false" outlineLevel="0" collapsed="false">
      <c r="A33" s="18" t="s">
        <v>80</v>
      </c>
    </row>
    <row r="34" customFormat="false" ht="15" hidden="false" customHeight="false" outlineLevel="0" collapsed="false">
      <c r="A34" s="19" t="s">
        <v>81</v>
      </c>
    </row>
    <row r="35" customFormat="false" ht="15" hidden="false" customHeight="false" outlineLevel="0" collapsed="false">
      <c r="A35" s="19" t="s">
        <v>82</v>
      </c>
    </row>
    <row r="36" customFormat="false" ht="15" hidden="false" customHeight="false" outlineLevel="0" collapsed="false">
      <c r="A36" s="19" t="s">
        <v>83</v>
      </c>
    </row>
    <row r="37" customFormat="false" ht="15" hidden="false" customHeight="false" outlineLevel="0" collapsed="false">
      <c r="A37" s="19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2026-10-26T12:46:55Z</dcterms:created>
  <dc:creator>openpyxl</dc:creator>
  <dc:description/>
  <dc:language>en-US</dc:language>
  <cp:lastModifiedBy/>
  <dcterms:modified xsi:type="dcterms:W3CDTF">2026-10-26T12:46:55Z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